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GeorgeMount\Documents\Codex\2026-10-24\can-x20\outputs\json-excel-skills\live-test\"/>
    </mc:Choice>
  </mc:AlternateContent>
  <xr:revisionPtr revIDLastSave="116" documentId="11_83F6A27D697373C8B5AFA93F76D8FAE9A82BBBE8" xr6:coauthVersionLast="47" xr6:coauthVersionMax="47" xr10:uidLastSave="{89168225-706F-4096-B568-17082288A898}"/>
  <bookViews>
    <workbookView xWindow="-98" yWindow="-98" windowWidth="18915" windowHeight="12676" activeTab="2" xr2:uid="{00000000-000D-0000-FFFF-FFFF00000000}"/>
  </bookViews>
  <sheets>
    <sheet name="Data" sheetId="1" r:id="rId1"/>
    <sheet name="Calculations" sheetId="2" r:id="rId2"/>
    <sheet name="Review" sheetId="3" r:id="rId3"/>
    <sheet name="Manag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2"/>
  <c r="C5" i="2"/>
  <c r="D5" i="2"/>
  <c r="E5" i="2"/>
  <c r="C5" i="3" s="1"/>
  <c r="F5" i="2"/>
  <c r="L5" i="2"/>
  <c r="A6" i="2"/>
  <c r="B6" i="2"/>
  <c r="C6" i="2"/>
  <c r="D6" i="2"/>
  <c r="E6" i="2"/>
  <c r="C10" i="3" s="1"/>
  <c r="F6" i="2"/>
  <c r="A7" i="2"/>
  <c r="B7" i="2"/>
  <c r="C7" i="2"/>
  <c r="D7" i="2"/>
  <c r="I7" i="2" s="1"/>
  <c r="J7" i="2" s="1"/>
  <c r="E7" i="2"/>
  <c r="C9" i="3" s="1"/>
  <c r="F7" i="2"/>
  <c r="D9" i="3" s="1"/>
  <c r="G7" i="2"/>
  <c r="H7" i="2"/>
  <c r="F9" i="3" s="1"/>
  <c r="K7" i="2"/>
  <c r="L7" i="2"/>
  <c r="A8" i="2"/>
  <c r="B8" i="2"/>
  <c r="C8" i="2"/>
  <c r="D8" i="2"/>
  <c r="E8" i="2"/>
  <c r="L8" i="2" s="1"/>
  <c r="F8" i="2"/>
  <c r="G8" i="2" s="1"/>
  <c r="A9" i="2"/>
  <c r="B9" i="2"/>
  <c r="C9" i="2"/>
  <c r="D9" i="2"/>
  <c r="E9" i="2"/>
  <c r="C8" i="3" s="1"/>
  <c r="F9" i="2"/>
  <c r="A10" i="2"/>
  <c r="B10" i="2"/>
  <c r="C10" i="2"/>
  <c r="D10" i="2"/>
  <c r="I10" i="2" s="1"/>
  <c r="J10" i="2" s="1"/>
  <c r="E10" i="2"/>
  <c r="L10" i="2" s="1"/>
  <c r="F10" i="2"/>
  <c r="G10" i="2"/>
  <c r="K10" i="2" s="1"/>
  <c r="H10" i="2"/>
  <c r="A11" i="2"/>
  <c r="B11" i="2"/>
  <c r="C11" i="2"/>
  <c r="D11" i="2"/>
  <c r="E11" i="2"/>
  <c r="C12" i="3" s="1"/>
  <c r="F11" i="2"/>
  <c r="L11" i="2"/>
  <c r="A12" i="2"/>
  <c r="B12" i="2"/>
  <c r="C12" i="2"/>
  <c r="D12" i="2"/>
  <c r="E12" i="2"/>
  <c r="F12" i="2"/>
  <c r="G12" i="2" s="1"/>
  <c r="K12" i="2" s="1"/>
  <c r="A13" i="2"/>
  <c r="B13" i="2"/>
  <c r="C13" i="2"/>
  <c r="D13" i="2"/>
  <c r="E13" i="2"/>
  <c r="F13" i="2"/>
  <c r="A14" i="2"/>
  <c r="B14" i="2"/>
  <c r="C14" i="2"/>
  <c r="D14" i="2"/>
  <c r="E14" i="2"/>
  <c r="F14" i="2"/>
  <c r="A15" i="2"/>
  <c r="B15" i="2"/>
  <c r="C15" i="2"/>
  <c r="D15" i="2"/>
  <c r="E15" i="2"/>
  <c r="F15" i="2"/>
  <c r="G15" i="2" s="1"/>
  <c r="K15" i="2" s="1"/>
  <c r="A16" i="2"/>
  <c r="B16" i="2"/>
  <c r="C16" i="2"/>
  <c r="D16" i="2"/>
  <c r="E16" i="2"/>
  <c r="C7" i="3" s="1"/>
  <c r="F16" i="2"/>
  <c r="L16" i="2"/>
  <c r="A5" i="3" l="1"/>
  <c r="A5" i="4"/>
  <c r="B5" i="3"/>
  <c r="B5" i="4"/>
  <c r="A10" i="3"/>
  <c r="A10" i="4"/>
  <c r="B10" i="3"/>
  <c r="B10" i="4"/>
  <c r="A9" i="3"/>
  <c r="A9" i="4"/>
  <c r="B9" i="3"/>
  <c r="B9" i="4"/>
  <c r="D9" i="4"/>
  <c r="G9" i="3"/>
  <c r="E9" i="3"/>
  <c r="C9" i="4"/>
  <c r="A8" i="3"/>
  <c r="A8" i="4"/>
  <c r="B8" i="3"/>
  <c r="B8" i="4"/>
  <c r="A12" i="3"/>
  <c r="A12" i="4"/>
  <c r="B12" i="3"/>
  <c r="B12" i="4"/>
  <c r="A6" i="3"/>
  <c r="A6" i="4"/>
  <c r="B6" i="3"/>
  <c r="B6" i="4"/>
  <c r="C6" i="3"/>
  <c r="L13" i="2"/>
  <c r="A11" i="3"/>
  <c r="A11" i="4"/>
  <c r="B11" i="3"/>
  <c r="B11" i="4"/>
  <c r="A7" i="3"/>
  <c r="A7" i="4"/>
  <c r="B7" i="3"/>
  <c r="B7" i="4"/>
  <c r="I12" i="2"/>
  <c r="J12" i="2" s="1"/>
  <c r="O8" i="2"/>
  <c r="Q8" i="2" s="1"/>
  <c r="O10" i="2"/>
  <c r="Q10" i="2" s="1"/>
  <c r="O9" i="2"/>
  <c r="Q9" i="2" s="1"/>
  <c r="O7" i="2"/>
  <c r="D5" i="3"/>
  <c r="G5" i="2"/>
  <c r="C5" i="4" s="1"/>
  <c r="G6" i="2"/>
  <c r="D10" i="3"/>
  <c r="I8" i="2"/>
  <c r="J8" i="2" s="1"/>
  <c r="K8" i="2"/>
  <c r="H8" i="2"/>
  <c r="G9" i="2"/>
  <c r="C8" i="4" s="1"/>
  <c r="D8" i="3"/>
  <c r="D12" i="3"/>
  <c r="G11" i="2"/>
  <c r="C12" i="4" s="1"/>
  <c r="D6" i="3"/>
  <c r="G13" i="2"/>
  <c r="C6" i="4" s="1"/>
  <c r="C11" i="3"/>
  <c r="L14" i="2"/>
  <c r="D11" i="3"/>
  <c r="G14" i="2"/>
  <c r="D7" i="3"/>
  <c r="G16" i="2"/>
  <c r="C7" i="4" s="1"/>
  <c r="L6" i="2"/>
  <c r="H9" i="2"/>
  <c r="F8" i="3" s="1"/>
  <c r="L9" i="2"/>
  <c r="H12" i="2"/>
  <c r="L12" i="2"/>
  <c r="H15" i="2"/>
  <c r="L15" i="2"/>
  <c r="I15" i="2"/>
  <c r="J15" i="2" s="1"/>
  <c r="I6" i="2"/>
  <c r="J6" i="2" s="1"/>
  <c r="I9" i="2"/>
  <c r="J9" i="2" s="1"/>
  <c r="H6" i="2" l="1"/>
  <c r="F10" i="3" s="1"/>
  <c r="C10" i="4"/>
  <c r="H14" i="2"/>
  <c r="F11" i="3" s="1"/>
  <c r="C11" i="4"/>
  <c r="G10" i="3"/>
  <c r="D10" i="4"/>
  <c r="G8" i="3"/>
  <c r="D8" i="4"/>
  <c r="Q7" i="2"/>
  <c r="O11" i="2"/>
  <c r="E5" i="3"/>
  <c r="K5" i="2"/>
  <c r="I5" i="2"/>
  <c r="J5" i="2" s="1"/>
  <c r="H5" i="2"/>
  <c r="F5" i="3" s="1"/>
  <c r="E10" i="3"/>
  <c r="K6" i="2"/>
  <c r="E8" i="3"/>
  <c r="K9" i="2"/>
  <c r="I11" i="2"/>
  <c r="J11" i="2" s="1"/>
  <c r="E12" i="3"/>
  <c r="K11" i="2"/>
  <c r="H11" i="2"/>
  <c r="F12" i="3" s="1"/>
  <c r="I13" i="2"/>
  <c r="J13" i="2" s="1"/>
  <c r="E6" i="3"/>
  <c r="K13" i="2"/>
  <c r="H13" i="2"/>
  <c r="F6" i="3" s="1"/>
  <c r="I14" i="2"/>
  <c r="J14" i="2" s="1"/>
  <c r="E11" i="3"/>
  <c r="K14" i="2"/>
  <c r="K16" i="2"/>
  <c r="H16" i="2"/>
  <c r="F7" i="3" s="1"/>
  <c r="E7" i="3"/>
  <c r="I16" i="2"/>
  <c r="J16" i="2" s="1"/>
  <c r="G5" i="3" l="1"/>
  <c r="D5" i="4"/>
  <c r="G12" i="3"/>
  <c r="D12" i="4"/>
  <c r="G6" i="3"/>
  <c r="D6" i="4"/>
  <c r="G11" i="3"/>
  <c r="D11" i="4"/>
  <c r="G7" i="3"/>
  <c r="D7" i="4"/>
</calcChain>
</file>

<file path=xl/sharedStrings.xml><?xml version="1.0" encoding="utf-8"?>
<sst xmlns="http://schemas.openxmlformats.org/spreadsheetml/2006/main" count="119" uniqueCount="60">
  <si>
    <t>Location</t>
  </si>
  <si>
    <t>Category</t>
  </si>
  <si>
    <t>Period</t>
  </si>
  <si>
    <t>Type</t>
  </si>
  <si>
    <t>Budget</t>
  </si>
  <si>
    <t>Actual</t>
  </si>
  <si>
    <t>Navy Yard</t>
  </si>
  <si>
    <t>Sushi</t>
  </si>
  <si>
    <t>2026-06</t>
  </si>
  <si>
    <t>Revenue</t>
  </si>
  <si>
    <t>Capitol Hill</t>
  </si>
  <si>
    <t>Dining</t>
  </si>
  <si>
    <t>Old Town</t>
  </si>
  <si>
    <t>Catering</t>
  </si>
  <si>
    <t>Bethesda</t>
  </si>
  <si>
    <t>Beverage</t>
  </si>
  <si>
    <t>Labor</t>
  </si>
  <si>
    <t>Expense</t>
  </si>
  <si>
    <t>Food</t>
  </si>
  <si>
    <t>Harbor Table Restaurants | June 2026 | USD</t>
  </si>
  <si>
    <t>Fictional teaching data. Selected categories only; this is not a complete P&amp;L.</t>
  </si>
  <si>
    <t>Start with the two prompts in practice-prompts.txt. Keep this Data table unchanged.</t>
  </si>
  <si>
    <t>Source: stringfestdata/excel-skills-json-demo; original 12-row exercise retained.</t>
  </si>
  <si>
    <t>Variance calculations</t>
  </si>
  <si>
    <t>All 12 source rows; partial operating review, not a complete P&amp;L.</t>
  </si>
  <si>
    <t>Variance</t>
  </si>
  <si>
    <t>VariancePercent</t>
  </si>
  <si>
    <t>ProfitImpact</t>
  </si>
  <si>
    <t>Direction</t>
  </si>
  <si>
    <t>Material</t>
  </si>
  <si>
    <t>VariancePercentStatus</t>
  </si>
  <si>
    <t>Policy controls</t>
  </si>
  <si>
    <t>Input</t>
  </si>
  <si>
    <t>Value</t>
  </si>
  <si>
    <t>Dollar threshold</t>
  </si>
  <si>
    <t>Percent threshold</t>
  </si>
  <si>
    <t>Control</t>
  </si>
  <si>
    <t>Calculated</t>
  </si>
  <si>
    <t>Policy</t>
  </si>
  <si>
    <t>Difference</t>
  </si>
  <si>
    <t>Revenue Budget</t>
  </si>
  <si>
    <t>Revenue Actual</t>
  </si>
  <si>
    <t>Expense Budget</t>
  </si>
  <si>
    <t>Expense Actual</t>
  </si>
  <si>
    <t>Partial operating result - Budget</t>
  </si>
  <si>
    <t>June 2026 variance review</t>
  </si>
  <si>
    <t>Snapshot: rerun this review after source or threshold changes to rebuild filtering, sorting, and commentary.</t>
  </si>
  <si>
    <t>Line item</t>
  </si>
  <si>
    <t>Variance $</t>
  </si>
  <si>
    <t>Variance %</t>
  </si>
  <si>
    <t>Documented driver</t>
  </si>
  <si>
    <t>Reduced sushi service during a kitchen repair lowered sales.</t>
  </si>
  <si>
    <t>Overtime during the kitchen repair increased labor cost.</t>
  </si>
  <si>
    <t>driver not documented</t>
  </si>
  <si>
    <t>A corporate client canceled its June catering event.</t>
  </si>
  <si>
    <t>Additional private dining bookings increased sales.</t>
  </si>
  <si>
    <t>A negotiated supplier discount reduced food cost.</t>
  </si>
  <si>
    <t>An expanded patio schedule increased beverage sales.</t>
  </si>
  <si>
    <t>June 2026 manager review</t>
  </si>
  <si>
    <t>Vs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</si>
</sst>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\$0"/>
    <numFmt numFmtId="165" formatCode="_(&quot;$&quot;* #,##0_);[Red]_(&quot;$&quot;* \(#,##0\);_(&quot;$&quot;* &quot;-&quot;_);_(@_)"/>
    <numFmt numFmtId="166" formatCode="0.0%;[Red]\(0.0%\);0.0%"/>
    <numFmt numFmtId="167" formatCode="0.0%"/>
    <numFmt numFmtId="168" formatCode="&quot;$&quot;#,##0;\(&quot;$&quot;#,##0\);&quot;$&quot;0"/>
    <numFmt numFmtId="169" formatCode="0.0%;\(0.0%\);0.0%"/>
  </numFmts>
  <fonts count="8">
    <font>
      <sz val="11"/>
      <name val="Carlito"/>
    </font>
    <font>
      <sz val="11"/>
      <color rgb="FF1F2120"/>
      <name val="Arial"/>
      <family val="2"/>
    </font>
    <font>
      <b/>
      <sz val="11"/>
      <color rgb="FFFFFFFF"/>
      <name val="Arial"/>
      <family val="2"/>
    </font>
    <font>
      <b/>
      <sz val="12"/>
      <color rgb="FFCF3338"/>
      <name val="Arial"/>
      <family val="2"/>
    </font>
    <font>
      <sz val="11"/>
      <name val="Arial"/>
      <family val="2"/>
    </font>
    <font>
      <b/>
      <sz val="11"/>
      <color rgb="FFCF3338"/>
      <name val="Arial"/>
      <family val="2"/>
    </font>
    <font>
      <i/>
      <sz val="11"/>
      <color rgb="FF595959"/>
      <name val="Arial"/>
      <family val="2"/>
    </font>
    <font>
      <sz val="11"/>
      <color rgb="FFCF333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120"/>
      </patternFill>
    </fill>
    <fill>
      <patternFill patternType="solid">
        <fgColor rgb="FFEEECE1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212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4" fillId="4" borderId="0" xfId="0" applyFont="1" applyFill="1"/>
    <xf numFmtId="165" fontId="4" fillId="0" borderId="0" xfId="0" applyNumberFormat="1" applyFont="1"/>
    <xf numFmtId="166" fontId="4" fillId="0" borderId="0" xfId="0" applyNumberFormat="1" applyFont="1"/>
    <xf numFmtId="0" fontId="4" fillId="5" borderId="0" xfId="0" applyFont="1" applyFill="1"/>
    <xf numFmtId="167" fontId="4" fillId="0" borderId="0" xfId="0" applyNumberFormat="1" applyFont="1"/>
    <xf numFmtId="0" fontId="4" fillId="7" borderId="0" xfId="0" applyFont="1" applyFill="1"/>
    <xf numFmtId="168" fontId="4" fillId="7" borderId="0" xfId="0" applyNumberFormat="1" applyFont="1" applyFill="1"/>
    <xf numFmtId="169" fontId="4" fillId="7" borderId="0" xfId="0" applyNumberFormat="1" applyFont="1" applyFill="1"/>
    <xf numFmtId="0" fontId="4" fillId="7" borderId="0" xfId="0" applyFont="1" applyFill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2" fillId="6" borderId="0" xfId="0" applyFont="1" applyFill="1"/>
    <xf numFmtId="0" fontId="4" fillId="8" borderId="0" xfId="0" applyFont="1" applyFill="1"/>
    <xf numFmtId="168" fontId="4" fillId="8" borderId="0" xfId="0" applyNumberFormat="1" applyFont="1" applyFill="1"/>
    <xf numFmtId="169" fontId="4" fillId="8" borderId="0" xfId="0" applyNumberFormat="1" applyFont="1" applyFill="1"/>
    <xf numFmtId="0" fontId="4" fillId="8" borderId="0" xfId="0" applyFont="1" applyFill="1" applyAlignment="1">
      <alignment wrapText="1"/>
    </xf>
    <xf numFmtId="0" fontId="4" fillId="0" borderId="0" xfId="0" applyFont="1" applyAlignment="1">
      <alignment horizontal="centerContinuous" vertical="center"/>
    </xf>
    <xf numFmtId="0" fontId="7" fillId="0" borderId="0" xfId="0" applyFont="1"/>
  </cellXfs>
  <cellStyles count="1">
    <cellStyle name="Normal" xfId="0" builtinId="0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ocationPnL" displayName="tblLocationPnL" ref="A1:F13" totalsRowShown="0">
  <tableColumns count="6">
    <tableColumn id="1" xr3:uid="{00000000-0010-0000-0000-000001000000}" name="Location"/>
    <tableColumn id="2" xr3:uid="{00000000-0010-0000-0000-000002000000}" name="Category"/>
    <tableColumn id="3" xr3:uid="{00000000-0010-0000-0000-000003000000}" name="Period"/>
    <tableColumn id="4" xr3:uid="{00000000-0010-0000-0000-000004000000}" name="Type"/>
    <tableColumn id="5" xr3:uid="{00000000-0010-0000-0000-000005000000}" name="Budget"/>
    <tableColumn id="6" xr3:uid="{00000000-0010-0000-0000-000006000000}" name="Actu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opLeftCell="C1" workbookViewId="0">
      <pane ySplit="1" topLeftCell="A2" activePane="bottomLeft" state="frozen"/>
      <selection pane="bottomLeft" activeCell="H9" sqref="H9"/>
    </sheetView>
  </sheetViews>
  <sheetFormatPr defaultRowHeight="13.5"/>
  <cols>
    <col min="1" max="1" width="19" customWidth="1"/>
    <col min="2" max="2" width="18" customWidth="1"/>
    <col min="3" max="4" width="15" customWidth="1"/>
    <col min="5" max="6" width="18" customWidth="1"/>
  </cols>
  <sheetData>
    <row r="1" spans="1:6" ht="3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7" customHeight="1">
      <c r="A2" s="5" t="s">
        <v>6</v>
      </c>
      <c r="B2" s="5" t="s">
        <v>7</v>
      </c>
      <c r="C2" s="5" t="s">
        <v>8</v>
      </c>
      <c r="D2" s="5" t="s">
        <v>9</v>
      </c>
      <c r="E2" s="6">
        <v>80000</v>
      </c>
      <c r="F2" s="6">
        <v>65800</v>
      </c>
    </row>
    <row r="3" spans="1:6" ht="27" customHeight="1">
      <c r="A3" s="2" t="s">
        <v>10</v>
      </c>
      <c r="B3" s="2" t="s">
        <v>11</v>
      </c>
      <c r="C3" s="2" t="s">
        <v>8</v>
      </c>
      <c r="D3" s="2" t="s">
        <v>9</v>
      </c>
      <c r="E3" s="4">
        <v>100000</v>
      </c>
      <c r="F3" s="4">
        <v>112000</v>
      </c>
    </row>
    <row r="4" spans="1:6" ht="27" customHeight="1">
      <c r="A4" s="5" t="s">
        <v>12</v>
      </c>
      <c r="B4" s="5" t="s">
        <v>13</v>
      </c>
      <c r="C4" s="5" t="s">
        <v>8</v>
      </c>
      <c r="D4" s="5" t="s">
        <v>9</v>
      </c>
      <c r="E4" s="6">
        <v>30000</v>
      </c>
      <c r="F4" s="6">
        <v>25000</v>
      </c>
    </row>
    <row r="5" spans="1:6" ht="27" customHeight="1">
      <c r="A5" s="2" t="s">
        <v>14</v>
      </c>
      <c r="B5" s="2" t="s">
        <v>11</v>
      </c>
      <c r="C5" s="2" t="s">
        <v>8</v>
      </c>
      <c r="D5" s="2" t="s">
        <v>9</v>
      </c>
      <c r="E5" s="4">
        <v>90000</v>
      </c>
      <c r="F5" s="4">
        <v>94000</v>
      </c>
    </row>
    <row r="6" spans="1:6" ht="27" customHeight="1">
      <c r="A6" s="5" t="s">
        <v>6</v>
      </c>
      <c r="B6" s="5" t="s">
        <v>15</v>
      </c>
      <c r="C6" s="5" t="s">
        <v>8</v>
      </c>
      <c r="D6" s="5" t="s">
        <v>9</v>
      </c>
      <c r="E6" s="6">
        <v>40000</v>
      </c>
      <c r="F6" s="6">
        <v>35000</v>
      </c>
    </row>
    <row r="7" spans="1:6" ht="27" customHeight="1">
      <c r="A7" s="2" t="s">
        <v>10</v>
      </c>
      <c r="B7" s="2" t="s">
        <v>13</v>
      </c>
      <c r="C7" s="2" t="s">
        <v>8</v>
      </c>
      <c r="D7" s="2" t="s">
        <v>9</v>
      </c>
      <c r="E7" s="4">
        <v>20000</v>
      </c>
      <c r="F7" s="4">
        <v>22000</v>
      </c>
    </row>
    <row r="8" spans="1:6" ht="27" customHeight="1">
      <c r="A8" s="5" t="s">
        <v>12</v>
      </c>
      <c r="B8" s="5" t="s">
        <v>15</v>
      </c>
      <c r="C8" s="5" t="s">
        <v>8</v>
      </c>
      <c r="D8" s="5" t="s">
        <v>9</v>
      </c>
      <c r="E8" s="6">
        <v>15000</v>
      </c>
      <c r="F8" s="6">
        <v>17500</v>
      </c>
    </row>
    <row r="9" spans="1:6" ht="27" customHeight="1">
      <c r="A9" s="2" t="s">
        <v>14</v>
      </c>
      <c r="B9" s="2" t="s">
        <v>13</v>
      </c>
      <c r="C9" s="2" t="s">
        <v>8</v>
      </c>
      <c r="D9" s="2" t="s">
        <v>9</v>
      </c>
      <c r="E9" s="4">
        <v>25000</v>
      </c>
      <c r="F9" s="4">
        <v>25000</v>
      </c>
    </row>
    <row r="10" spans="1:6" ht="27" customHeight="1">
      <c r="A10" s="5" t="s">
        <v>6</v>
      </c>
      <c r="B10" s="5" t="s">
        <v>16</v>
      </c>
      <c r="C10" s="5" t="s">
        <v>8</v>
      </c>
      <c r="D10" s="5" t="s">
        <v>17</v>
      </c>
      <c r="E10" s="6">
        <v>40000</v>
      </c>
      <c r="F10" s="6">
        <v>46500</v>
      </c>
    </row>
    <row r="11" spans="1:6" ht="27" customHeight="1">
      <c r="A11" s="2" t="s">
        <v>10</v>
      </c>
      <c r="B11" s="2" t="s">
        <v>18</v>
      </c>
      <c r="C11" s="2" t="s">
        <v>8</v>
      </c>
      <c r="D11" s="2" t="s">
        <v>17</v>
      </c>
      <c r="E11" s="4">
        <v>35000</v>
      </c>
      <c r="F11" s="4">
        <v>31000</v>
      </c>
    </row>
    <row r="12" spans="1:6" ht="27" customHeight="1">
      <c r="A12" s="5" t="s">
        <v>12</v>
      </c>
      <c r="B12" s="5" t="s">
        <v>16</v>
      </c>
      <c r="C12" s="5" t="s">
        <v>8</v>
      </c>
      <c r="D12" s="5" t="s">
        <v>17</v>
      </c>
      <c r="E12" s="6">
        <v>20000</v>
      </c>
      <c r="F12" s="6">
        <v>22000</v>
      </c>
    </row>
    <row r="13" spans="1:6" ht="27" customHeight="1">
      <c r="A13" s="2" t="s">
        <v>14</v>
      </c>
      <c r="B13" s="2" t="s">
        <v>18</v>
      </c>
      <c r="C13" s="2" t="s">
        <v>8</v>
      </c>
      <c r="D13" s="2" t="s">
        <v>17</v>
      </c>
      <c r="E13" s="4">
        <v>28000</v>
      </c>
      <c r="F13" s="4">
        <v>33000</v>
      </c>
    </row>
    <row r="16" spans="1:6" ht="23" customHeight="1">
      <c r="A16" s="7" t="s">
        <v>19</v>
      </c>
      <c r="B16" s="1"/>
      <c r="C16" s="1"/>
      <c r="D16" s="1"/>
      <c r="E16" s="1"/>
      <c r="F16" s="1"/>
    </row>
    <row r="17" spans="1:6" ht="23" customHeight="1">
      <c r="A17" s="1" t="s">
        <v>20</v>
      </c>
      <c r="B17" s="1"/>
      <c r="C17" s="1"/>
      <c r="D17" s="1"/>
      <c r="E17" s="1"/>
      <c r="F17" s="1"/>
    </row>
    <row r="18" spans="1:6" ht="23" customHeight="1">
      <c r="A18" s="1"/>
      <c r="B18" s="1"/>
      <c r="C18" s="1"/>
      <c r="D18" s="1"/>
      <c r="E18" s="1"/>
      <c r="F18" s="1"/>
    </row>
    <row r="19" spans="1:6" ht="23" customHeight="1">
      <c r="A19" s="1" t="s">
        <v>21</v>
      </c>
      <c r="B19" s="1"/>
      <c r="C19" s="1"/>
      <c r="D19" s="1"/>
      <c r="E19" s="1"/>
      <c r="F19" s="1"/>
    </row>
    <row r="20" spans="1:6" ht="23" customHeight="1">
      <c r="A20" s="1"/>
      <c r="B20" s="1"/>
      <c r="C20" s="1"/>
      <c r="D20" s="1"/>
      <c r="E20" s="1"/>
      <c r="F20" s="1"/>
    </row>
    <row r="21" spans="1:6" ht="23" customHeight="1">
      <c r="A21" s="1" t="s">
        <v>22</v>
      </c>
      <c r="B21" s="1"/>
      <c r="C21" s="1"/>
      <c r="D21" s="1"/>
      <c r="E21" s="1"/>
      <c r="F2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7B00-9486-4861-ACEB-0957AFFF3B38}">
  <dimension ref="A1:Q1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5" style="8" customWidth="1"/>
    <col min="2" max="2" width="13.3125" style="8" customWidth="1"/>
    <col min="3" max="3" width="7.3125" style="8" bestFit="1" customWidth="1"/>
    <col min="4" max="4" width="7.8125" style="8" bestFit="1" customWidth="1"/>
    <col min="5" max="6" width="9.4375" style="8" bestFit="1" customWidth="1"/>
    <col min="7" max="7" width="9.0625" style="8" bestFit="1" customWidth="1"/>
    <col min="8" max="8" width="14.1875" style="8" bestFit="1" customWidth="1"/>
    <col min="9" max="10" width="10.375" style="8" bestFit="1" customWidth="1"/>
    <col min="11" max="11" width="7.125" style="8" bestFit="1" customWidth="1"/>
    <col min="12" max="12" width="20.8125" style="8" customWidth="1"/>
    <col min="14" max="14" width="29.1875" style="8" customWidth="1"/>
    <col min="15" max="16" width="9.4375" style="8" bestFit="1" customWidth="1"/>
    <col min="17" max="17" width="9" style="8"/>
  </cols>
  <sheetData>
    <row r="1" spans="1:17">
      <c r="A1" s="8" t="s">
        <v>23</v>
      </c>
      <c r="N1" s="8" t="s">
        <v>31</v>
      </c>
    </row>
    <row r="2" spans="1:17">
      <c r="A2" s="8" t="s">
        <v>24</v>
      </c>
      <c r="N2" s="12" t="s">
        <v>32</v>
      </c>
      <c r="O2" s="12" t="s">
        <v>33</v>
      </c>
    </row>
    <row r="3" spans="1:17">
      <c r="N3" s="8" t="s">
        <v>34</v>
      </c>
      <c r="O3" s="10">
        <v>5000</v>
      </c>
    </row>
    <row r="4" spans="1:17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25</v>
      </c>
      <c r="H4" s="9" t="s">
        <v>26</v>
      </c>
      <c r="I4" s="9" t="s">
        <v>27</v>
      </c>
      <c r="J4" s="9" t="s">
        <v>28</v>
      </c>
      <c r="K4" s="9" t="s">
        <v>29</v>
      </c>
      <c r="L4" s="9" t="s">
        <v>30</v>
      </c>
      <c r="N4" s="8" t="s">
        <v>35</v>
      </c>
      <c r="O4" s="13">
        <v>0.1</v>
      </c>
    </row>
    <row r="5" spans="1:17">
      <c r="A5" s="8" t="str">
        <f>INDEX(tblLocationPnL[Location],1)</f>
        <v>Navy Yard</v>
      </c>
      <c r="B5" s="8" t="str">
        <f>INDEX(tblLocationPnL[Category],1)</f>
        <v>Sushi</v>
      </c>
      <c r="C5" s="8" t="str">
        <f>INDEX(tblLocationPnL[Period],1)</f>
        <v>2026-06</v>
      </c>
      <c r="D5" s="8" t="str">
        <f>INDEX(tblLocationPnL[Type],1)</f>
        <v>Revenue</v>
      </c>
      <c r="E5" s="10">
        <f>INDEX(tblLocationPnL[Budget],1)</f>
        <v>80000</v>
      </c>
      <c r="F5" s="10">
        <f>INDEX(tblLocationPnL[Actual],1)</f>
        <v>65800</v>
      </c>
      <c r="G5" s="10">
        <f>F5-E5</f>
        <v>-14200</v>
      </c>
      <c r="H5" s="11">
        <f>IF(E5=0,"",G5/E5)</f>
        <v>-0.17749999999999999</v>
      </c>
      <c r="I5" s="10">
        <f>IF(D5="Revenue",G5,-G5)</f>
        <v>-14200</v>
      </c>
      <c r="J5" s="8" t="str">
        <f>IF(I5&gt;0,"Favorable",IF(I5&lt;0,"Unfavorable","On plan"))</f>
        <v>Unfavorable</v>
      </c>
      <c r="K5" s="8" t="b">
        <f>OR(ABS(G5)&gt;$O$3,AND(E5&gt;0,ABS(G5)&gt;$O$4*E5))</f>
        <v>1</v>
      </c>
      <c r="L5" s="8" t="str">
        <f>IF(E5=0,"undefined","defined")</f>
        <v>defined</v>
      </c>
    </row>
    <row r="6" spans="1:17">
      <c r="A6" s="8" t="str">
        <f>INDEX(tblLocationPnL[Location],2)</f>
        <v>Capitol Hill</v>
      </c>
      <c r="B6" s="8" t="str">
        <f>INDEX(tblLocationPnL[Category],2)</f>
        <v>Dining</v>
      </c>
      <c r="C6" s="8" t="str">
        <f>INDEX(tblLocationPnL[Period],2)</f>
        <v>2026-06</v>
      </c>
      <c r="D6" s="8" t="str">
        <f>INDEX(tblLocationPnL[Type],2)</f>
        <v>Revenue</v>
      </c>
      <c r="E6" s="10">
        <f>INDEX(tblLocationPnL[Budget],2)</f>
        <v>100000</v>
      </c>
      <c r="F6" s="10">
        <f>INDEX(tblLocationPnL[Actual],2)</f>
        <v>112000</v>
      </c>
      <c r="G6" s="10">
        <f>F6-E6</f>
        <v>12000</v>
      </c>
      <c r="H6" s="11">
        <f>IF(E6=0,"",G6/E6)</f>
        <v>0.12</v>
      </c>
      <c r="I6" s="10">
        <f>IF(D6="Revenue",G6,-G6)</f>
        <v>12000</v>
      </c>
      <c r="J6" s="8" t="str">
        <f>IF(I6&gt;0,"Favorable",IF(I6&lt;0,"Unfavorable","On plan"))</f>
        <v>Favorable</v>
      </c>
      <c r="K6" s="8" t="b">
        <f>OR(ABS(G6)&gt;$O$3,AND(E6&gt;0,ABS(G6)&gt;$O$4*E6))</f>
        <v>1</v>
      </c>
      <c r="L6" s="8" t="str">
        <f>IF(E6=0,"undefined","defined")</f>
        <v>defined</v>
      </c>
      <c r="N6" s="9" t="s">
        <v>36</v>
      </c>
      <c r="O6" s="9" t="s">
        <v>37</v>
      </c>
      <c r="P6" s="9" t="s">
        <v>38</v>
      </c>
      <c r="Q6" s="9" t="s">
        <v>39</v>
      </c>
    </row>
    <row r="7" spans="1:17">
      <c r="A7" s="8" t="str">
        <f>INDEX(tblLocationPnL[Location],3)</f>
        <v>Old Town</v>
      </c>
      <c r="B7" s="8" t="str">
        <f>INDEX(tblLocationPnL[Category],3)</f>
        <v>Catering</v>
      </c>
      <c r="C7" s="8" t="str">
        <f>INDEX(tblLocationPnL[Period],3)</f>
        <v>2026-06</v>
      </c>
      <c r="D7" s="8" t="str">
        <f>INDEX(tblLocationPnL[Type],3)</f>
        <v>Revenue</v>
      </c>
      <c r="E7" s="10">
        <f>INDEX(tblLocationPnL[Budget],3)</f>
        <v>30000</v>
      </c>
      <c r="F7" s="10">
        <f>INDEX(tblLocationPnL[Actual],3)</f>
        <v>25000</v>
      </c>
      <c r="G7" s="10">
        <f>F7-E7</f>
        <v>-5000</v>
      </c>
      <c r="H7" s="11">
        <f>IF(E7=0,"",G7/E7)</f>
        <v>-0.16666666666666666</v>
      </c>
      <c r="I7" s="10">
        <f>IF(D7="Revenue",G7,-G7)</f>
        <v>-5000</v>
      </c>
      <c r="J7" s="8" t="str">
        <f>IF(I7&gt;0,"Favorable",IF(I7&lt;0,"Unfavorable","On plan"))</f>
        <v>Unfavorable</v>
      </c>
      <c r="K7" s="8" t="b">
        <f>OR(ABS(G7)&gt;$O$3,AND(E7&gt;0,ABS(G7)&gt;$O$4*E7))</f>
        <v>1</v>
      </c>
      <c r="L7" s="8" t="str">
        <f>IF(E7=0,"undefined","defined")</f>
        <v>defined</v>
      </c>
      <c r="N7" s="8" t="s">
        <v>40</v>
      </c>
      <c r="O7" s="10">
        <f>SUMIFS($E$5:$E$16,$D$5:$D$16,"Revenue")</f>
        <v>400000</v>
      </c>
      <c r="P7" s="10">
        <v>400000</v>
      </c>
      <c r="Q7" s="10">
        <f>O7-P7</f>
        <v>0</v>
      </c>
    </row>
    <row r="8" spans="1:17">
      <c r="A8" s="8" t="str">
        <f>INDEX(tblLocationPnL[Location],4)</f>
        <v>Bethesda</v>
      </c>
      <c r="B8" s="8" t="str">
        <f>INDEX(tblLocationPnL[Category],4)</f>
        <v>Dining</v>
      </c>
      <c r="C8" s="8" t="str">
        <f>INDEX(tblLocationPnL[Period],4)</f>
        <v>2026-06</v>
      </c>
      <c r="D8" s="8" t="str">
        <f>INDEX(tblLocationPnL[Type],4)</f>
        <v>Revenue</v>
      </c>
      <c r="E8" s="10">
        <f>INDEX(tblLocationPnL[Budget],4)</f>
        <v>90000</v>
      </c>
      <c r="F8" s="10">
        <f>INDEX(tblLocationPnL[Actual],4)</f>
        <v>94000</v>
      </c>
      <c r="G8" s="10">
        <f>F8-E8</f>
        <v>4000</v>
      </c>
      <c r="H8" s="11">
        <f>IF(E8=0,"",G8/E8)</f>
        <v>4.4444444444444446E-2</v>
      </c>
      <c r="I8" s="10">
        <f>IF(D8="Revenue",G8,-G8)</f>
        <v>4000</v>
      </c>
      <c r="J8" s="8" t="str">
        <f>IF(I8&gt;0,"Favorable",IF(I8&lt;0,"Unfavorable","On plan"))</f>
        <v>Favorable</v>
      </c>
      <c r="K8" s="8" t="b">
        <f>OR(ABS(G8)&gt;$O$3,AND(E8&gt;0,ABS(G8)&gt;$O$4*E8))</f>
        <v>0</v>
      </c>
      <c r="L8" s="8" t="str">
        <f>IF(E8=0,"undefined","defined")</f>
        <v>defined</v>
      </c>
      <c r="N8" s="8" t="s">
        <v>41</v>
      </c>
      <c r="O8" s="10">
        <f>SUMIFS($F$5:$F$16,$D$5:$D$16,"Revenue")</f>
        <v>396300</v>
      </c>
      <c r="P8" s="10">
        <v>396300</v>
      </c>
      <c r="Q8" s="10">
        <f>O8-P8</f>
        <v>0</v>
      </c>
    </row>
    <row r="9" spans="1:17">
      <c r="A9" s="8" t="str">
        <f>INDEX(tblLocationPnL[Location],5)</f>
        <v>Navy Yard</v>
      </c>
      <c r="B9" s="8" t="str">
        <f>INDEX(tblLocationPnL[Category],5)</f>
        <v>Beverage</v>
      </c>
      <c r="C9" s="8" t="str">
        <f>INDEX(tblLocationPnL[Period],5)</f>
        <v>2026-06</v>
      </c>
      <c r="D9" s="8" t="str">
        <f>INDEX(tblLocationPnL[Type],5)</f>
        <v>Revenue</v>
      </c>
      <c r="E9" s="10">
        <f>INDEX(tblLocationPnL[Budget],5)</f>
        <v>40000</v>
      </c>
      <c r="F9" s="10">
        <f>INDEX(tblLocationPnL[Actual],5)</f>
        <v>35000</v>
      </c>
      <c r="G9" s="10">
        <f>F9-E9</f>
        <v>-5000</v>
      </c>
      <c r="H9" s="11">
        <f>IF(E9=0,"",G9/E9)</f>
        <v>-0.125</v>
      </c>
      <c r="I9" s="10">
        <f>IF(D9="Revenue",G9,-G9)</f>
        <v>-5000</v>
      </c>
      <c r="J9" s="8" t="str">
        <f>IF(I9&gt;0,"Favorable",IF(I9&lt;0,"Unfavorable","On plan"))</f>
        <v>Unfavorable</v>
      </c>
      <c r="K9" s="8" t="b">
        <f>OR(ABS(G9)&gt;$O$3,AND(E9&gt;0,ABS(G9)&gt;$O$4*E9))</f>
        <v>1</v>
      </c>
      <c r="L9" s="8" t="str">
        <f>IF(E9=0,"undefined","defined")</f>
        <v>defined</v>
      </c>
      <c r="N9" s="8" t="s">
        <v>42</v>
      </c>
      <c r="O9" s="10">
        <f>SUMIFS($E$5:$E$16,$D$5:$D$16,"Expense")</f>
        <v>123000</v>
      </c>
      <c r="P9" s="10">
        <v>123000</v>
      </c>
      <c r="Q9" s="10">
        <f>O9-P9</f>
        <v>0</v>
      </c>
    </row>
    <row r="10" spans="1:17">
      <c r="A10" s="8" t="str">
        <f>INDEX(tblLocationPnL[Location],6)</f>
        <v>Capitol Hill</v>
      </c>
      <c r="B10" s="8" t="str">
        <f>INDEX(tblLocationPnL[Category],6)</f>
        <v>Catering</v>
      </c>
      <c r="C10" s="8" t="str">
        <f>INDEX(tblLocationPnL[Period],6)</f>
        <v>2026-06</v>
      </c>
      <c r="D10" s="8" t="str">
        <f>INDEX(tblLocationPnL[Type],6)</f>
        <v>Revenue</v>
      </c>
      <c r="E10" s="10">
        <f>INDEX(tblLocationPnL[Budget],6)</f>
        <v>20000</v>
      </c>
      <c r="F10" s="10">
        <f>INDEX(tblLocationPnL[Actual],6)</f>
        <v>22000</v>
      </c>
      <c r="G10" s="10">
        <f>F10-E10</f>
        <v>2000</v>
      </c>
      <c r="H10" s="11">
        <f>IF(E10=0,"",G10/E10)</f>
        <v>0.1</v>
      </c>
      <c r="I10" s="10">
        <f>IF(D10="Revenue",G10,-G10)</f>
        <v>2000</v>
      </c>
      <c r="J10" s="8" t="str">
        <f>IF(I10&gt;0,"Favorable",IF(I10&lt;0,"Unfavorable","On plan"))</f>
        <v>Favorable</v>
      </c>
      <c r="K10" s="8" t="b">
        <f>OR(ABS(G10)&gt;$O$3,AND(E10&gt;0,ABS(G10)&gt;$O$4*E10))</f>
        <v>0</v>
      </c>
      <c r="L10" s="8" t="str">
        <f>IF(E10=0,"undefined","defined")</f>
        <v>defined</v>
      </c>
      <c r="N10" s="8" t="s">
        <v>43</v>
      </c>
      <c r="O10" s="10">
        <f>SUMIFS($F$5:$F$16,$D$5:$D$16,"Expense")</f>
        <v>132500</v>
      </c>
      <c r="P10" s="10">
        <v>132500</v>
      </c>
      <c r="Q10" s="10">
        <f>O10-P10</f>
        <v>0</v>
      </c>
    </row>
    <row r="11" spans="1:17">
      <c r="A11" s="8" t="str">
        <f>INDEX(tblLocationPnL[Location],7)</f>
        <v>Old Town</v>
      </c>
      <c r="B11" s="8" t="str">
        <f>INDEX(tblLocationPnL[Category],7)</f>
        <v>Beverage</v>
      </c>
      <c r="C11" s="8" t="str">
        <f>INDEX(tblLocationPnL[Period],7)</f>
        <v>2026-06</v>
      </c>
      <c r="D11" s="8" t="str">
        <f>INDEX(tblLocationPnL[Type],7)</f>
        <v>Revenue</v>
      </c>
      <c r="E11" s="10">
        <f>INDEX(tblLocationPnL[Budget],7)</f>
        <v>15000</v>
      </c>
      <c r="F11" s="10">
        <f>INDEX(tblLocationPnL[Actual],7)</f>
        <v>17500</v>
      </c>
      <c r="G11" s="10">
        <f>F11-E11</f>
        <v>2500</v>
      </c>
      <c r="H11" s="11">
        <f>IF(E11=0,"",G11/E11)</f>
        <v>0.16666666666666666</v>
      </c>
      <c r="I11" s="10">
        <f>IF(D11="Revenue",G11,-G11)</f>
        <v>2500</v>
      </c>
      <c r="J11" s="8" t="str">
        <f>IF(I11&gt;0,"Favorable",IF(I11&lt;0,"Unfavorable","On plan"))</f>
        <v>Favorable</v>
      </c>
      <c r="K11" s="8" t="b">
        <f>OR(ABS(G11)&gt;$O$3,AND(E11&gt;0,ABS(G11)&gt;$O$4*E11))</f>
        <v>1</v>
      </c>
      <c r="L11" s="8" t="str">
        <f>IF(E11=0,"undefined","defined")</f>
        <v>defined</v>
      </c>
      <c r="N11" s="8" t="s">
        <v>44</v>
      </c>
      <c r="O11" s="10">
        <f>O7-O9</f>
        <v>277000</v>
      </c>
      <c r="P11" s="10"/>
      <c r="Q11" s="10"/>
    </row>
    <row r="12" spans="1:17">
      <c r="A12" s="8" t="str">
        <f>INDEX(tblLocationPnL[Location],8)</f>
        <v>Bethesda</v>
      </c>
      <c r="B12" s="8" t="str">
        <f>INDEX(tblLocationPnL[Category],8)</f>
        <v>Catering</v>
      </c>
      <c r="C12" s="8" t="str">
        <f>INDEX(tblLocationPnL[Period],8)</f>
        <v>2026-06</v>
      </c>
      <c r="D12" s="8" t="str">
        <f>INDEX(tblLocationPnL[Type],8)</f>
        <v>Revenue</v>
      </c>
      <c r="E12" s="10">
        <f>INDEX(tblLocationPnL[Budget],8)</f>
        <v>25000</v>
      </c>
      <c r="F12" s="10">
        <f>INDEX(tblLocationPnL[Actual],8)</f>
        <v>25000</v>
      </c>
      <c r="G12" s="10">
        <f>F12-E12</f>
        <v>0</v>
      </c>
      <c r="H12" s="11">
        <f>IF(E12=0,"",G12/E12)</f>
        <v>0</v>
      </c>
      <c r="I12" s="10">
        <f>IF(D12="Revenue",G12,-G12)</f>
        <v>0</v>
      </c>
      <c r="J12" s="8" t="str">
        <f>IF(I12&gt;0,"Favorable",IF(I12&lt;0,"Unfavorable","On plan"))</f>
        <v>On plan</v>
      </c>
      <c r="K12" s="8" t="b">
        <f>OR(ABS(G12)&gt;$O$3,AND(E12&gt;0,ABS(G12)&gt;$O$4*E12))</f>
        <v>0</v>
      </c>
      <c r="L12" s="8" t="str">
        <f>IF(E12=0,"undefined","defined")</f>
        <v>defined</v>
      </c>
    </row>
    <row r="13" spans="1:17">
      <c r="A13" s="8" t="str">
        <f>INDEX(tblLocationPnL[Location],9)</f>
        <v>Navy Yard</v>
      </c>
      <c r="B13" s="8" t="str">
        <f>INDEX(tblLocationPnL[Category],9)</f>
        <v>Labor</v>
      </c>
      <c r="C13" s="8" t="str">
        <f>INDEX(tblLocationPnL[Period],9)</f>
        <v>2026-06</v>
      </c>
      <c r="D13" s="8" t="str">
        <f>INDEX(tblLocationPnL[Type],9)</f>
        <v>Expense</v>
      </c>
      <c r="E13" s="10">
        <f>INDEX(tblLocationPnL[Budget],9)</f>
        <v>40000</v>
      </c>
      <c r="F13" s="10">
        <f>INDEX(tblLocationPnL[Actual],9)</f>
        <v>46500</v>
      </c>
      <c r="G13" s="10">
        <f>F13-E13</f>
        <v>6500</v>
      </c>
      <c r="H13" s="11">
        <f>IF(E13=0,"",G13/E13)</f>
        <v>0.16250000000000001</v>
      </c>
      <c r="I13" s="10">
        <f>IF(D13="Revenue",G13,-G13)</f>
        <v>-6500</v>
      </c>
      <c r="J13" s="8" t="str">
        <f>IF(I13&gt;0,"Favorable",IF(I13&lt;0,"Unfavorable","On plan"))</f>
        <v>Unfavorable</v>
      </c>
      <c r="K13" s="8" t="b">
        <f>OR(ABS(G13)&gt;$O$3,AND(E13&gt;0,ABS(G13)&gt;$O$4*E13))</f>
        <v>1</v>
      </c>
      <c r="L13" s="8" t="str">
        <f>IF(E13=0,"undefined","defined")</f>
        <v>defined</v>
      </c>
    </row>
    <row r="14" spans="1:17">
      <c r="A14" s="8" t="str">
        <f>INDEX(tblLocationPnL[Location],10)</f>
        <v>Capitol Hill</v>
      </c>
      <c r="B14" s="8" t="str">
        <f>INDEX(tblLocationPnL[Category],10)</f>
        <v>Food</v>
      </c>
      <c r="C14" s="8" t="str">
        <f>INDEX(tblLocationPnL[Period],10)</f>
        <v>2026-06</v>
      </c>
      <c r="D14" s="8" t="str">
        <f>INDEX(tblLocationPnL[Type],10)</f>
        <v>Expense</v>
      </c>
      <c r="E14" s="10">
        <f>INDEX(tblLocationPnL[Budget],10)</f>
        <v>35000</v>
      </c>
      <c r="F14" s="10">
        <f>INDEX(tblLocationPnL[Actual],10)</f>
        <v>31000</v>
      </c>
      <c r="G14" s="10">
        <f>F14-E14</f>
        <v>-4000</v>
      </c>
      <c r="H14" s="11">
        <f>IF(E14=0,"",G14/E14)</f>
        <v>-0.11428571428571428</v>
      </c>
      <c r="I14" s="10">
        <f>IF(D14="Revenue",G14,-G14)</f>
        <v>4000</v>
      </c>
      <c r="J14" s="8" t="str">
        <f>IF(I14&gt;0,"Favorable",IF(I14&lt;0,"Unfavorable","On plan"))</f>
        <v>Favorable</v>
      </c>
      <c r="K14" s="8" t="b">
        <f>OR(ABS(G14)&gt;$O$3,AND(E14&gt;0,ABS(G14)&gt;$O$4*E14))</f>
        <v>1</v>
      </c>
      <c r="L14" s="8" t="str">
        <f>IF(E14=0,"undefined","defined")</f>
        <v>defined</v>
      </c>
    </row>
    <row r="15" spans="1:17">
      <c r="A15" s="8" t="str">
        <f>INDEX(tblLocationPnL[Location],11)</f>
        <v>Old Town</v>
      </c>
      <c r="B15" s="8" t="str">
        <f>INDEX(tblLocationPnL[Category],11)</f>
        <v>Labor</v>
      </c>
      <c r="C15" s="8" t="str">
        <f>INDEX(tblLocationPnL[Period],11)</f>
        <v>2026-06</v>
      </c>
      <c r="D15" s="8" t="str">
        <f>INDEX(tblLocationPnL[Type],11)</f>
        <v>Expense</v>
      </c>
      <c r="E15" s="10">
        <f>INDEX(tblLocationPnL[Budget],11)</f>
        <v>20000</v>
      </c>
      <c r="F15" s="10">
        <f>INDEX(tblLocationPnL[Actual],11)</f>
        <v>22000</v>
      </c>
      <c r="G15" s="10">
        <f>F15-E15</f>
        <v>2000</v>
      </c>
      <c r="H15" s="11">
        <f>IF(E15=0,"",G15/E15)</f>
        <v>0.1</v>
      </c>
      <c r="I15" s="10">
        <f>IF(D15="Revenue",G15,-G15)</f>
        <v>-2000</v>
      </c>
      <c r="J15" s="8" t="str">
        <f>IF(I15&gt;0,"Favorable",IF(I15&lt;0,"Unfavorable","On plan"))</f>
        <v>Unfavorable</v>
      </c>
      <c r="K15" s="8" t="b">
        <f>OR(ABS(G15)&gt;$O$3,AND(E15&gt;0,ABS(G15)&gt;$O$4*E15))</f>
        <v>0</v>
      </c>
      <c r="L15" s="8" t="str">
        <f>IF(E15=0,"undefined","defined")</f>
        <v>defined</v>
      </c>
    </row>
    <row r="16" spans="1:17">
      <c r="A16" s="8" t="str">
        <f>INDEX(tblLocationPnL[Location],12)</f>
        <v>Bethesda</v>
      </c>
      <c r="B16" s="8" t="str">
        <f>INDEX(tblLocationPnL[Category],12)</f>
        <v>Food</v>
      </c>
      <c r="C16" s="8" t="str">
        <f>INDEX(tblLocationPnL[Period],12)</f>
        <v>2026-06</v>
      </c>
      <c r="D16" s="8" t="str">
        <f>INDEX(tblLocationPnL[Type],12)</f>
        <v>Expense</v>
      </c>
      <c r="E16" s="10">
        <f>INDEX(tblLocationPnL[Budget],12)</f>
        <v>28000</v>
      </c>
      <c r="F16" s="10">
        <f>INDEX(tblLocationPnL[Actual],12)</f>
        <v>33000</v>
      </c>
      <c r="G16" s="10">
        <f>F16-E16</f>
        <v>5000</v>
      </c>
      <c r="H16" s="11">
        <f>IF(E16=0,"",G16/E16)</f>
        <v>0.17857142857142858</v>
      </c>
      <c r="I16" s="10">
        <f>IF(D16="Revenue",G16,-G16)</f>
        <v>-5000</v>
      </c>
      <c r="J16" s="8" t="str">
        <f>IF(I16&gt;0,"Favorable",IF(I16&lt;0,"Unfavorable","On plan"))</f>
        <v>Unfavorable</v>
      </c>
      <c r="K16" s="8" t="b">
        <f>OR(ABS(G16)&gt;$O$3,AND(E16&gt;0,ABS(G16)&gt;$O$4*E16))</f>
        <v>1</v>
      </c>
      <c r="L16" s="8" t="str">
        <f>IF(E16=0,"undefined","defined")</f>
        <v>defined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AE47-CDFE-47AA-85BB-0277583D21DA}">
  <dimension ref="A1:H12"/>
  <sheetViews>
    <sheetView showGridLines="0" tabSelected="1" zoomScale="120" zoomScaleNormal="120"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23.6875" bestFit="1" customWidth="1"/>
    <col min="2" max="2" width="8.6875" bestFit="1" customWidth="1"/>
    <col min="3" max="4" width="8.1875" bestFit="1" customWidth="1"/>
    <col min="5" max="5" width="9.6875" bestFit="1" customWidth="1"/>
    <col min="6" max="6" width="10.25" bestFit="1" customWidth="1"/>
    <col min="7" max="7" width="10.375" bestFit="1" customWidth="1"/>
    <col min="8" max="8" width="43.3125" customWidth="1"/>
  </cols>
  <sheetData>
    <row r="1" spans="1:8" ht="13.9">
      <c r="A1" s="18" t="s">
        <v>45</v>
      </c>
      <c r="B1" s="8"/>
      <c r="C1" s="8"/>
      <c r="D1" s="8"/>
      <c r="E1" s="8"/>
      <c r="F1" s="8"/>
      <c r="G1" s="8"/>
      <c r="H1" s="8"/>
    </row>
    <row r="2" spans="1:8" ht="30" customHeight="1">
      <c r="A2" s="19" t="s">
        <v>46</v>
      </c>
      <c r="B2" s="19"/>
      <c r="C2" s="19"/>
      <c r="D2" s="19"/>
      <c r="E2" s="19"/>
      <c r="F2" s="19"/>
      <c r="G2" s="19"/>
      <c r="H2" s="19"/>
    </row>
    <row r="3" spans="1:8">
      <c r="A3" s="8"/>
      <c r="B3" s="8"/>
      <c r="C3" s="8"/>
      <c r="D3" s="8"/>
      <c r="E3" s="8"/>
      <c r="F3" s="8"/>
      <c r="G3" s="8"/>
      <c r="H3" s="8"/>
    </row>
    <row r="4" spans="1:8" ht="13.9">
      <c r="A4" s="20" t="s">
        <v>0</v>
      </c>
      <c r="B4" s="20" t="s">
        <v>47</v>
      </c>
      <c r="C4" s="20" t="s">
        <v>4</v>
      </c>
      <c r="D4" s="20" t="s">
        <v>5</v>
      </c>
      <c r="E4" s="20" t="s">
        <v>48</v>
      </c>
      <c r="F4" s="20" t="s">
        <v>49</v>
      </c>
      <c r="G4" s="20" t="s">
        <v>28</v>
      </c>
      <c r="H4" s="20" t="s">
        <v>50</v>
      </c>
    </row>
    <row r="5" spans="1:8" ht="27">
      <c r="A5" s="21" t="str">
        <f>Calculations!A5</f>
        <v>Navy Yard</v>
      </c>
      <c r="B5" s="21" t="str">
        <f>Calculations!B5</f>
        <v>Sushi</v>
      </c>
      <c r="C5" s="22">
        <f>Calculations!E5</f>
        <v>80000</v>
      </c>
      <c r="D5" s="22">
        <f>Calculations!F5</f>
        <v>65800</v>
      </c>
      <c r="E5" s="22">
        <f>Calculations!G5</f>
        <v>-14200</v>
      </c>
      <c r="F5" s="23">
        <f>Calculations!H5</f>
        <v>-0.17749999999999999</v>
      </c>
      <c r="G5" s="21" t="str">
        <f>Calculations!J5</f>
        <v>Unfavorable</v>
      </c>
      <c r="H5" s="24" t="s">
        <v>51</v>
      </c>
    </row>
    <row r="6" spans="1:8" ht="27">
      <c r="A6" s="14" t="str">
        <f>Calculations!A13</f>
        <v>Navy Yard</v>
      </c>
      <c r="B6" s="14" t="str">
        <f>Calculations!B13</f>
        <v>Labor</v>
      </c>
      <c r="C6" s="15">
        <f>Calculations!E13</f>
        <v>40000</v>
      </c>
      <c r="D6" s="15">
        <f>Calculations!F13</f>
        <v>46500</v>
      </c>
      <c r="E6" s="15">
        <f>Calculations!G13</f>
        <v>6500</v>
      </c>
      <c r="F6" s="16">
        <f>Calculations!H13</f>
        <v>0.16250000000000001</v>
      </c>
      <c r="G6" s="14" t="str">
        <f>Calculations!J13</f>
        <v>Unfavorable</v>
      </c>
      <c r="H6" s="17" t="s">
        <v>52</v>
      </c>
    </row>
    <row r="7" spans="1:8">
      <c r="A7" s="21" t="str">
        <f>Calculations!A16</f>
        <v>Bethesda</v>
      </c>
      <c r="B7" s="21" t="str">
        <f>Calculations!B16</f>
        <v>Food</v>
      </c>
      <c r="C7" s="22">
        <f>Calculations!E16</f>
        <v>28000</v>
      </c>
      <c r="D7" s="22">
        <f>Calculations!F16</f>
        <v>33000</v>
      </c>
      <c r="E7" s="22">
        <f>Calculations!G16</f>
        <v>5000</v>
      </c>
      <c r="F7" s="23">
        <f>Calculations!H16</f>
        <v>0.17857142857142858</v>
      </c>
      <c r="G7" s="21" t="str">
        <f>Calculations!J16</f>
        <v>Unfavorable</v>
      </c>
      <c r="H7" s="24" t="s">
        <v>53</v>
      </c>
    </row>
    <row r="8" spans="1:8">
      <c r="A8" s="14" t="str">
        <f>Calculations!A9</f>
        <v>Navy Yard</v>
      </c>
      <c r="B8" s="14" t="str">
        <f>Calculations!B9</f>
        <v>Beverage</v>
      </c>
      <c r="C8" s="15">
        <f>Calculations!E9</f>
        <v>40000</v>
      </c>
      <c r="D8" s="15">
        <f>Calculations!F9</f>
        <v>35000</v>
      </c>
      <c r="E8" s="15">
        <f>Calculations!G9</f>
        <v>-5000</v>
      </c>
      <c r="F8" s="16">
        <f>Calculations!H9</f>
        <v>-0.125</v>
      </c>
      <c r="G8" s="14" t="str">
        <f>Calculations!J9</f>
        <v>Unfavorable</v>
      </c>
      <c r="H8" s="17" t="s">
        <v>53</v>
      </c>
    </row>
    <row r="9" spans="1:8">
      <c r="A9" s="21" t="str">
        <f>Calculations!A7</f>
        <v>Old Town</v>
      </c>
      <c r="B9" s="21" t="str">
        <f>Calculations!B7</f>
        <v>Catering</v>
      </c>
      <c r="C9" s="22">
        <f>Calculations!E7</f>
        <v>30000</v>
      </c>
      <c r="D9" s="22">
        <f>Calculations!F7</f>
        <v>25000</v>
      </c>
      <c r="E9" s="22">
        <f>Calculations!G7</f>
        <v>-5000</v>
      </c>
      <c r="F9" s="23">
        <f>Calculations!H7</f>
        <v>-0.16666666666666666</v>
      </c>
      <c r="G9" s="21" t="str">
        <f>Calculations!J7</f>
        <v>Unfavorable</v>
      </c>
      <c r="H9" s="24" t="s">
        <v>54</v>
      </c>
    </row>
    <row r="10" spans="1:8">
      <c r="A10" s="14" t="str">
        <f>Calculations!A6</f>
        <v>Capitol Hill</v>
      </c>
      <c r="B10" s="14" t="str">
        <f>Calculations!B6</f>
        <v>Dining</v>
      </c>
      <c r="C10" s="15">
        <f>Calculations!E6</f>
        <v>100000</v>
      </c>
      <c r="D10" s="15">
        <f>Calculations!F6</f>
        <v>112000</v>
      </c>
      <c r="E10" s="15">
        <f>Calculations!G6</f>
        <v>12000</v>
      </c>
      <c r="F10" s="16">
        <f>Calculations!H6</f>
        <v>0.12</v>
      </c>
      <c r="G10" s="14" t="str">
        <f>Calculations!J6</f>
        <v>Favorable</v>
      </c>
      <c r="H10" s="17" t="s">
        <v>55</v>
      </c>
    </row>
    <row r="11" spans="1:8">
      <c r="A11" s="21" t="str">
        <f>Calculations!A14</f>
        <v>Capitol Hill</v>
      </c>
      <c r="B11" s="21" t="str">
        <f>Calculations!B14</f>
        <v>Food</v>
      </c>
      <c r="C11" s="22">
        <f>Calculations!E14</f>
        <v>35000</v>
      </c>
      <c r="D11" s="22">
        <f>Calculations!F14</f>
        <v>31000</v>
      </c>
      <c r="E11" s="22">
        <f>Calculations!G14</f>
        <v>-4000</v>
      </c>
      <c r="F11" s="23">
        <f>Calculations!H14</f>
        <v>-0.11428571428571428</v>
      </c>
      <c r="G11" s="21" t="str">
        <f>Calculations!J14</f>
        <v>Favorable</v>
      </c>
      <c r="H11" s="24" t="s">
        <v>56</v>
      </c>
    </row>
    <row r="12" spans="1:8" ht="27">
      <c r="A12" s="14" t="str">
        <f>Calculations!A11</f>
        <v>Old Town</v>
      </c>
      <c r="B12" s="14" t="str">
        <f>Calculations!B11</f>
        <v>Beverage</v>
      </c>
      <c r="C12" s="15">
        <f>Calculations!E11</f>
        <v>15000</v>
      </c>
      <c r="D12" s="15">
        <f>Calculations!F11</f>
        <v>17500</v>
      </c>
      <c r="E12" s="15">
        <f>Calculations!G11</f>
        <v>2500</v>
      </c>
      <c r="F12" s="16">
        <f>Calculations!H11</f>
        <v>0.16666666666666666</v>
      </c>
      <c r="G12" s="14" t="str">
        <f>Calculations!J11</f>
        <v>Favorable</v>
      </c>
      <c r="H12" s="17" t="s">
        <v>57</v>
      </c>
    </row>
  </sheetData>
  <conditionalFormatting sqref="C5:F1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CFC5-69E1-4B3A-AB36-028465BA4C56}">
  <dimension ref="A1:E12"/>
  <sheetViews>
    <sheetView showGridLines="0" zoomScale="120" zoomScaleNormal="120" workbookViewId="0">
      <pane ySplit="1" topLeftCell="A2" activePane="bottomLeft" state="frozen"/>
      <selection pane="bottomLeft" activeCell="D16" sqref="D16"/>
    </sheetView>
  </sheetViews>
  <sheetFormatPr defaultRowHeight="13.5"/>
  <cols>
    <col min="1" max="1" width="16.6875" customWidth="1"/>
    <col min="2" max="2" width="14.1875" customWidth="1"/>
    <col min="3" max="3" width="13.6875" customWidth="1"/>
    <col min="4" max="4" width="14.1875" customWidth="1"/>
    <col min="5" max="5" width="43.3125" customWidth="1"/>
  </cols>
  <sheetData>
    <row r="1" spans="1:5">
      <c r="A1" s="26" t="s">
        <v>58</v>
      </c>
      <c r="B1" s="8"/>
      <c r="C1" s="8"/>
      <c r="D1" s="8"/>
      <c r="E1" s="8"/>
    </row>
    <row r="2" spans="1:5" ht="30" customHeight="1">
      <c r="A2" s="25" t="s">
        <v>46</v>
      </c>
      <c r="B2" s="25"/>
      <c r="C2" s="25"/>
      <c r="D2" s="25"/>
      <c r="E2" s="25"/>
    </row>
    <row r="3" spans="1:5">
      <c r="A3" s="8"/>
      <c r="B3" s="8"/>
      <c r="C3" s="8"/>
      <c r="D3" s="8"/>
      <c r="E3" s="8"/>
    </row>
    <row r="4" spans="1:5" ht="13.9">
      <c r="A4" s="20" t="s">
        <v>0</v>
      </c>
      <c r="B4" s="20" t="s">
        <v>47</v>
      </c>
      <c r="C4" s="20" t="s">
        <v>59</v>
      </c>
      <c r="D4" s="20" t="s">
        <v>28</v>
      </c>
      <c r="E4" s="20" t="s">
        <v>50</v>
      </c>
    </row>
    <row r="5" spans="1:5" ht="27">
      <c r="A5" s="21" t="str">
        <f>Calculations!A5</f>
        <v>Navy Yard</v>
      </c>
      <c r="B5" s="21" t="str">
        <f>Calculations!B5</f>
        <v>Sushi</v>
      </c>
      <c r="C5" s="22">
        <f>Calculations!G5</f>
        <v>-14200</v>
      </c>
      <c r="D5" s="21" t="str">
        <f>Calculations!J5</f>
        <v>Unfavorable</v>
      </c>
      <c r="E5" s="24" t="s">
        <v>51</v>
      </c>
    </row>
    <row r="6" spans="1:5" ht="27">
      <c r="A6" s="14" t="str">
        <f>Calculations!A13</f>
        <v>Navy Yard</v>
      </c>
      <c r="B6" s="14" t="str">
        <f>Calculations!B13</f>
        <v>Labor</v>
      </c>
      <c r="C6" s="15">
        <f>Calculations!G13</f>
        <v>6500</v>
      </c>
      <c r="D6" s="14" t="str">
        <f>Calculations!J13</f>
        <v>Unfavorable</v>
      </c>
      <c r="E6" s="17" t="s">
        <v>52</v>
      </c>
    </row>
    <row r="7" spans="1:5">
      <c r="A7" s="21" t="str">
        <f>Calculations!A16</f>
        <v>Bethesda</v>
      </c>
      <c r="B7" s="21" t="str">
        <f>Calculations!B16</f>
        <v>Food</v>
      </c>
      <c r="C7" s="22">
        <f>Calculations!G16</f>
        <v>5000</v>
      </c>
      <c r="D7" s="21" t="str">
        <f>Calculations!J16</f>
        <v>Unfavorable</v>
      </c>
      <c r="E7" s="24" t="s">
        <v>53</v>
      </c>
    </row>
    <row r="8" spans="1:5">
      <c r="A8" s="14" t="str">
        <f>Calculations!A9</f>
        <v>Navy Yard</v>
      </c>
      <c r="B8" s="14" t="str">
        <f>Calculations!B9</f>
        <v>Beverage</v>
      </c>
      <c r="C8" s="15">
        <f>Calculations!G9</f>
        <v>-5000</v>
      </c>
      <c r="D8" s="14" t="str">
        <f>Calculations!J9</f>
        <v>Unfavorable</v>
      </c>
      <c r="E8" s="17" t="s">
        <v>53</v>
      </c>
    </row>
    <row r="9" spans="1:5">
      <c r="A9" s="21" t="str">
        <f>Calculations!A7</f>
        <v>Old Town</v>
      </c>
      <c r="B9" s="21" t="str">
        <f>Calculations!B7</f>
        <v>Catering</v>
      </c>
      <c r="C9" s="22">
        <f>Calculations!G7</f>
        <v>-5000</v>
      </c>
      <c r="D9" s="21" t="str">
        <f>Calculations!J7</f>
        <v>Unfavorable</v>
      </c>
      <c r="E9" s="24" t="s">
        <v>54</v>
      </c>
    </row>
    <row r="10" spans="1:5">
      <c r="A10" s="14" t="str">
        <f>Calculations!A6</f>
        <v>Capitol Hill</v>
      </c>
      <c r="B10" s="14" t="str">
        <f>Calculations!B6</f>
        <v>Dining</v>
      </c>
      <c r="C10" s="15">
        <f>Calculations!G6</f>
        <v>12000</v>
      </c>
      <c r="D10" s="14" t="str">
        <f>Calculations!J6</f>
        <v>Favorable</v>
      </c>
      <c r="E10" s="17" t="s">
        <v>55</v>
      </c>
    </row>
    <row r="11" spans="1:5">
      <c r="A11" s="21" t="str">
        <f>Calculations!A14</f>
        <v>Capitol Hill</v>
      </c>
      <c r="B11" s="21" t="str">
        <f>Calculations!B14</f>
        <v>Food</v>
      </c>
      <c r="C11" s="22">
        <f>Calculations!G14</f>
        <v>-4000</v>
      </c>
      <c r="D11" s="21" t="str">
        <f>Calculations!J14</f>
        <v>Favorable</v>
      </c>
      <c r="E11" s="24" t="s">
        <v>56</v>
      </c>
    </row>
    <row r="12" spans="1:5" ht="27">
      <c r="A12" s="14" t="str">
        <f>Calculations!A11</f>
        <v>Old Town</v>
      </c>
      <c r="B12" s="14" t="str">
        <f>Calculations!B11</f>
        <v>Beverage</v>
      </c>
      <c r="C12" s="15">
        <f>Calculations!G11</f>
        <v>2500</v>
      </c>
      <c r="D12" s="14" t="str">
        <f>Calculations!J11</f>
        <v>Favorable</v>
      </c>
      <c r="E12" s="17" t="s">
        <v>57</v>
      </c>
    </row>
  </sheetData>
  <conditionalFormatting sqref="C5:C1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Calculations</vt:lpstr>
      <vt:lpstr>Review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2026-10-25T04:51:05Z</dcterms:modified>
</cp:coreProperties>
</file>